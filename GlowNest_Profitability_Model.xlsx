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Sensitivity" sheetId="2" state="visible" r:id="rId4"/>
    <sheet name="Scena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<sst xmlns="http://schemas.openxmlformats.org/spreadsheetml/2006/main" count="58" uniqueCount="55">
  <si>
    <t xml:space="preserve">GlowNest — Dynamic Profitability Model</t>
  </si>
  <si>
    <t xml:space="preserve">Blue = editable input  |  Black = formula</t>
  </si>
  <si>
    <t xml:space="preserve">INPUTS (edit the yellow cells)</t>
  </si>
  <si>
    <t xml:space="preserve">LIVE HEALTH CHECK</t>
  </si>
  <si>
    <t xml:space="preserve">Selling Price (SP)</t>
  </si>
  <si>
    <t xml:space="preserve">COGS</t>
  </si>
  <si>
    <t xml:space="preserve">Amazon Referral Fee (%)</t>
  </si>
  <si>
    <t xml:space="preserve">Monthly Ad Spend</t>
  </si>
  <si>
    <t xml:space="preserve">Guide rails:</t>
  </si>
  <si>
    <t xml:space="preserve">Units Sold via Ads</t>
  </si>
  <si>
    <t xml:space="preserve">• Profit &lt; 0 → red flag, cut spend or fix efficiency</t>
  </si>
  <si>
    <t xml:space="preserve">Organic Units Sold</t>
  </si>
  <si>
    <t xml:space="preserve">• TACOS &gt; 15% → yellow, ad-dependence rising</t>
  </si>
  <si>
    <t xml:space="preserve">Fixed Costs (monthly)</t>
  </si>
  <si>
    <t xml:space="preserve">• TACOS falling with flat spend → organic compounding (good)</t>
  </si>
  <si>
    <t xml:space="preserve">OUTPUTS (auto-calculated)</t>
  </si>
  <si>
    <t xml:space="preserve">Gross Margin per Unit</t>
  </si>
  <si>
    <t xml:space="preserve">Amazon Fee per Unit</t>
  </si>
  <si>
    <t xml:space="preserve">Ad Cost per Unit</t>
  </si>
  <si>
    <t xml:space="preserve">Net Margin – Ad Units</t>
  </si>
  <si>
    <t xml:space="preserve">Net Margin – Organic Units</t>
  </si>
  <si>
    <t xml:space="preserve">Total Monthly Revenue</t>
  </si>
  <si>
    <t xml:space="preserve">Total Monthly Profit</t>
  </si>
  <si>
    <t xml:space="preserve">ACOS</t>
  </si>
  <si>
    <t xml:space="preserve">TACOS</t>
  </si>
  <si>
    <t xml:space="preserve">Break-Even Ad Spend</t>
  </si>
  <si>
    <t xml:space="preserve">Break-Even Ad Spend = the max ad spend before profit hits ₹0, holding ad-units constant. It equals total contribution margin (net margin × all units) minus fixed costs. Beyond this point each extra rupee of ad spend is unprofitable at current efficiency.</t>
  </si>
  <si>
    <t xml:space="preserve">Ad-Spend Sensitivity (holding ad-units at current input)</t>
  </si>
  <si>
    <t xml:space="preserve">Ad Spend (₹)</t>
  </si>
  <si>
    <t xml:space="preserve">Profit (₹)</t>
  </si>
  <si>
    <t xml:space="preserve">Scenario Analysis (Task 2)</t>
  </si>
  <si>
    <t xml:space="preserve">Scenario</t>
  </si>
  <si>
    <t xml:space="preserve">Key change</t>
  </si>
  <si>
    <t xml:space="preserve">Profit</t>
  </si>
  <si>
    <t xml:space="preserve">Takeaway</t>
  </si>
  <si>
    <t xml:space="preserve">1. Price ↑ to ₹950</t>
  </si>
  <si>
    <t xml:space="preserve">SP 800→950</t>
  </si>
  <si>
    <t xml:space="preserve">₹14,96,000</t>
  </si>
  <si>
    <t xml:space="preserve">9.0%</t>
  </si>
  <si>
    <t xml:space="preserve">Profit +₹4.62L; TACOS falls (higher revenue base). Pricing power is the strongest lever.</t>
  </si>
  <si>
    <t xml:space="preserve">2. COGS +20%</t>
  </si>
  <si>
    <t xml:space="preserve">COGS 280→336</t>
  </si>
  <si>
    <t xml:space="preserve">—</t>
  </si>
  <si>
    <t xml:space="preserve">Break-even ad spend drops 800→₹11.38L (from ₹13.34L). Cost inflation shrinks the cushion.</t>
  </si>
  <si>
    <t xml:space="preserve">3. Organic ↑ to 3,500</t>
  </si>
  <si>
    <t xml:space="preserve">Organic 2000→3500</t>
  </si>
  <si>
    <t xml:space="preserve">₹17,98,000</t>
  </si>
  <si>
    <t xml:space="preserve">7.5%</t>
  </si>
  <si>
    <t xml:space="preserve">TACOS falls 10.7%→7.5% with SAME spend. Organic growth = the health metric improving for free.</t>
  </si>
  <si>
    <t xml:space="preserve">4. Price war: SP ₹700</t>
  </si>
  <si>
    <t xml:space="preserve">SP 800→700</t>
  </si>
  <si>
    <t xml:space="preserve">₹7,26,000</t>
  </si>
  <si>
    <t xml:space="preserve">13.4%</t>
  </si>
  <si>
    <t xml:space="preserve">Net margin/ad-unit 224→136. Still profitable but margin nearly halves. Compete on value, not price.</t>
  </si>
  <si>
    <t xml:space="preserve">Note: figures computed from the Model logic. To reproduce live, change the matching blue input on the Model sheet and read Total Monthly Profit / TACOS. Scenario 2 break-even is read from the Break-Even Ad Spend output.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</si>
</sst>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"/>
    <numFmt numFmtId="166" formatCode="0.0%"/>
    <numFmt numFmtId="167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FFEB9C"/>
      </patternFill>
    </fill>
    <fill>
      <patternFill patternType="solid">
        <fgColor rgb="FFD6E4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78787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vs Ad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Sensitivity!B3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Sensitivity!$A$4:$A$17</c:f>
              <c:strCache>
                <c:ptCount val="14"/>
                <c:pt idx="0">
                  <c:v>₹0</c:v>
                </c:pt>
                <c:pt idx="1">
                  <c:v>₹100,000</c:v>
                </c:pt>
                <c:pt idx="2">
                  <c:v>₹200,000</c:v>
                </c:pt>
                <c:pt idx="3">
                  <c:v>₹300,000</c:v>
                </c:pt>
                <c:pt idx="4">
                  <c:v>₹400,000</c:v>
                </c:pt>
                <c:pt idx="5">
                  <c:v>₹500,000</c:v>
                </c:pt>
                <c:pt idx="6">
                  <c:v>₹600,000</c:v>
                </c:pt>
                <c:pt idx="7">
                  <c:v>₹700,000</c:v>
                </c:pt>
                <c:pt idx="8">
                  <c:v>₹800,000</c:v>
                </c:pt>
                <c:pt idx="9">
                  <c:v>₹900,000</c:v>
                </c:pt>
                <c:pt idx="10">
                  <c:v>₹1,000,000</c:v>
                </c:pt>
                <c:pt idx="11">
                  <c:v>₹1,100,000</c:v>
                </c:pt>
                <c:pt idx="12">
                  <c:v>₹1,200,000</c:v>
                </c:pt>
                <c:pt idx="13">
                  <c:v>₹1,300,000</c:v>
                </c:pt>
              </c:strCache>
            </c:strRef>
          </c:cat>
          <c:val>
            <c:numRef>
              <c:f>Sensitivity!$B$4:$B$17</c:f>
              <c:numCache>
                <c:formatCode>\₹#,##0</c:formatCode>
                <c:ptCount val="14"/>
                <c:pt idx="0">
                  <c:v>1334000</c:v>
                </c:pt>
                <c:pt idx="1">
                  <c:v>1234000</c:v>
                </c:pt>
                <c:pt idx="2">
                  <c:v>1134000</c:v>
                </c:pt>
                <c:pt idx="3">
                  <c:v>1034000</c:v>
                </c:pt>
                <c:pt idx="4">
                  <c:v>934000</c:v>
                </c:pt>
                <c:pt idx="5">
                  <c:v>834000</c:v>
                </c:pt>
                <c:pt idx="6">
                  <c:v>734000</c:v>
                </c:pt>
                <c:pt idx="7">
                  <c:v>634000</c:v>
                </c:pt>
                <c:pt idx="8">
                  <c:v>534000</c:v>
                </c:pt>
                <c:pt idx="9">
                  <c:v>434000</c:v>
                </c:pt>
                <c:pt idx="10">
                  <c:v>334000</c:v>
                </c:pt>
                <c:pt idx="11">
                  <c:v>234000</c:v>
                </c:pt>
                <c:pt idx="12">
                  <c:v>134000</c:v>
                </c:pt>
                <c:pt idx="13">
                  <c:v>34000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475280"/>
        <c:axId val="77448816"/>
      </c:lineChart>
      <c:catAx>
        <c:axId val="254752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Ad Spend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48816"/>
        <c:crosses val="autoZero"/>
        <c:auto val="1"/>
        <c:lblAlgn val="ctr"/>
        <c:lblOffset val="100"/>
        <c:noMultiLvlLbl val="0"/>
      </c:catAx>
      <c:valAx>
        <c:axId val="774488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Monthly 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752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13</xdr:col>
      <xdr:colOff>255960</xdr:colOff>
      <xdr:row>17</xdr:row>
      <xdr:rowOff>21960</xdr:rowOff>
    </xdr:to>
    <xdr:graphicFrame>
      <xdr:nvGraphicFramePr>
        <xdr:cNvPr id="0" name="Chart 1"/>
        <xdr:cNvGraphicFramePr/>
      </xdr:nvGraphicFramePr>
      <xdr:xfrm>
        <a:off x="371268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40"/>
  </cols>
  <sheetData>
    <row r="1" customFormat="false" ht="25.5" hidden="false" customHeight="true" outlineLevel="0" collapsed="false">
      <c r="B1" s="1" t="s">
        <v>0</v>
      </c>
      <c r="C1" s="1"/>
      <c r="E1" s="2" t="s">
        <v>1</v>
      </c>
    </row>
    <row r="3" customFormat="false" ht="15" hidden="false" customHeight="false" outlineLevel="0" collapsed="false">
      <c r="B3" s="3" t="s">
        <v>2</v>
      </c>
      <c r="C3" s="3"/>
      <c r="E3" s="4" t="s">
        <v>3</v>
      </c>
    </row>
    <row r="4" customFormat="false" ht="18" hidden="false" customHeight="true" outlineLevel="0" collapsed="false">
      <c r="B4" s="5" t="s">
        <v>4</v>
      </c>
      <c r="C4" s="6" t="n">
        <v>800</v>
      </c>
      <c r="E4" s="7" t="str">
        <f aca="false">IF($C$19&lt;0,"🔴 LOSS-MAKING — profit is negative",IF($C$21&gt;0.15,"🟡 WATCH — TACOS above 15%","🟢 HEALTHY — profitable &amp; TACOS under 15%"))</f>
        <v>🟢 HEALTHY — profitable &amp; TACOS under 15%</v>
      </c>
    </row>
    <row r="5" customFormat="false" ht="15" hidden="false" customHeight="false" outlineLevel="0" collapsed="false">
      <c r="B5" s="5" t="s">
        <v>5</v>
      </c>
      <c r="C5" s="6" t="n">
        <v>280</v>
      </c>
      <c r="E5" s="7"/>
    </row>
    <row r="6" customFormat="false" ht="15" hidden="false" customHeight="false" outlineLevel="0" collapsed="false">
      <c r="B6" s="5" t="s">
        <v>6</v>
      </c>
      <c r="C6" s="8" t="n">
        <v>0.12</v>
      </c>
    </row>
    <row r="7" customFormat="false" ht="15" hidden="false" customHeight="false" outlineLevel="0" collapsed="false">
      <c r="B7" s="5" t="s">
        <v>7</v>
      </c>
      <c r="C7" s="6" t="n">
        <v>300000</v>
      </c>
      <c r="E7" s="9" t="s">
        <v>8</v>
      </c>
    </row>
    <row r="8" customFormat="false" ht="15" hidden="false" customHeight="false" outlineLevel="0" collapsed="false">
      <c r="B8" s="5" t="s">
        <v>9</v>
      </c>
      <c r="C8" s="10" t="n">
        <v>1500</v>
      </c>
      <c r="E8" s="11" t="s">
        <v>10</v>
      </c>
    </row>
    <row r="9" customFormat="false" ht="15" hidden="false" customHeight="false" outlineLevel="0" collapsed="false">
      <c r="B9" s="5" t="s">
        <v>11</v>
      </c>
      <c r="C9" s="10" t="n">
        <v>2000</v>
      </c>
      <c r="E9" s="11" t="s">
        <v>12</v>
      </c>
    </row>
    <row r="10" customFormat="false" ht="15" hidden="false" customHeight="false" outlineLevel="0" collapsed="false">
      <c r="B10" s="5" t="s">
        <v>13</v>
      </c>
      <c r="C10" s="6" t="n">
        <v>150000</v>
      </c>
      <c r="E10" s="11" t="s">
        <v>14</v>
      </c>
    </row>
    <row r="12" customFormat="false" ht="15" hidden="false" customHeight="false" outlineLevel="0" collapsed="false">
      <c r="B12" s="3" t="s">
        <v>15</v>
      </c>
      <c r="C12" s="3"/>
    </row>
    <row r="13" customFormat="false" ht="15" hidden="false" customHeight="false" outlineLevel="0" collapsed="false">
      <c r="B13" s="12" t="s">
        <v>16</v>
      </c>
      <c r="C13" s="13" t="n">
        <f aca="false">$C$4-$C$5</f>
        <v>520</v>
      </c>
    </row>
    <row r="14" customFormat="false" ht="15" hidden="false" customHeight="false" outlineLevel="0" collapsed="false">
      <c r="B14" s="12" t="s">
        <v>17</v>
      </c>
      <c r="C14" s="13" t="n">
        <f aca="false">$C$4*$C$6</f>
        <v>96</v>
      </c>
    </row>
    <row r="15" customFormat="false" ht="15" hidden="false" customHeight="false" outlineLevel="0" collapsed="false">
      <c r="B15" s="12" t="s">
        <v>18</v>
      </c>
      <c r="C15" s="13" t="n">
        <f aca="false">$C$7/$C$8</f>
        <v>200</v>
      </c>
    </row>
    <row r="16" customFormat="false" ht="15" hidden="false" customHeight="false" outlineLevel="0" collapsed="false">
      <c r="B16" s="12" t="s">
        <v>19</v>
      </c>
      <c r="C16" s="13" t="n">
        <f aca="false">$C$13-$C$14-$C$15</f>
        <v>224</v>
      </c>
    </row>
    <row r="17" customFormat="false" ht="15" hidden="false" customHeight="false" outlineLevel="0" collapsed="false">
      <c r="B17" s="12" t="s">
        <v>20</v>
      </c>
      <c r="C17" s="13" t="n">
        <f aca="false">$C$13-$C$14</f>
        <v>424</v>
      </c>
    </row>
    <row r="18" customFormat="false" ht="15" hidden="false" customHeight="false" outlineLevel="0" collapsed="false">
      <c r="B18" s="12" t="s">
        <v>21</v>
      </c>
      <c r="C18" s="13" t="n">
        <f aca="false">$C$4*($C$8+$C$9)</f>
        <v>2800000</v>
      </c>
    </row>
    <row r="19" customFormat="false" ht="15" hidden="false" customHeight="false" outlineLevel="0" collapsed="false">
      <c r="B19" s="12" t="s">
        <v>22</v>
      </c>
      <c r="C19" s="14" t="n">
        <f aca="false">($C$16*$C$8)+($C$17*$C$9)-$C$10</f>
        <v>1034000</v>
      </c>
    </row>
    <row r="20" customFormat="false" ht="15" hidden="false" customHeight="false" outlineLevel="0" collapsed="false">
      <c r="B20" s="12" t="s">
        <v>23</v>
      </c>
      <c r="C20" s="15" t="n">
        <f aca="false">$C$7/($C$4*$C$8)</f>
        <v>0.25</v>
      </c>
    </row>
    <row r="21" customFormat="false" ht="15" hidden="false" customHeight="false" outlineLevel="0" collapsed="false">
      <c r="B21" s="12" t="s">
        <v>24</v>
      </c>
      <c r="C21" s="16" t="n">
        <f aca="false">$C$7/$C$18</f>
        <v>0.107142857142857</v>
      </c>
    </row>
    <row r="22" customFormat="false" ht="15" hidden="false" customHeight="false" outlineLevel="0" collapsed="false">
      <c r="B22" s="12" t="s">
        <v>25</v>
      </c>
      <c r="C22" s="14" t="n">
        <f aca="false">($C$17*$C$8)+($C$17*$C$9)-$C$10</f>
        <v>1334000</v>
      </c>
    </row>
    <row r="24" customFormat="false" ht="15" hidden="false" customHeight="true" outlineLevel="0" collapsed="false">
      <c r="B24" s="17" t="s">
        <v>26</v>
      </c>
      <c r="C24" s="17"/>
    </row>
    <row r="25" customFormat="false" ht="15" hidden="false" customHeight="false" outlineLevel="0" collapsed="false">
      <c r="B25" s="17"/>
      <c r="C25" s="17"/>
    </row>
    <row r="26" customFormat="false" ht="15" hidden="false" customHeight="false" outlineLevel="0" collapsed="false">
      <c r="B26" s="17"/>
      <c r="C26" s="17"/>
    </row>
  </sheetData>
  <mergeCells count="5">
    <mergeCell ref="B1:C1"/>
    <mergeCell ref="B3:C3"/>
    <mergeCell ref="E4:E5"/>
    <mergeCell ref="B12:C12"/>
    <mergeCell ref="B24:C26"/>
  </mergeCells>
  <conditionalFormatting sqref="C19">
    <cfRule type="cellIs" priority="2" operator="lessThan" aboveAverage="0" equalAverage="0" bottom="0" percent="0" rank="0" text="" dxfId="0">
      <formula>0</formula>
    </cfRule>
  </conditionalFormatting>
  <conditionalFormatting sqref="C21">
    <cfRule type="cellIs" priority="3" operator="greaterThan" aboveAverage="0" equalAverage="0" bottom="0" percent="0" rank="0" text="" dxfId="1">
      <formula>0.15</formula>
    </cfRule>
    <cfRule type="cellIs" priority="4" operator="lessThanOrEqual" aboveAverage="0" equalAverage="0" bottom="0" percent="0" rank="0" text="" dxfId="2">
      <formula>0.15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8" t="s">
        <v>27</v>
      </c>
    </row>
    <row r="3" customFormat="false" ht="15" hidden="false" customHeight="false" outlineLevel="0" collapsed="false">
      <c r="A3" s="19" t="s">
        <v>28</v>
      </c>
      <c r="B3" s="19" t="s">
        <v>29</v>
      </c>
      <c r="C3" s="19" t="s">
        <v>24</v>
      </c>
    </row>
    <row r="4" customFormat="false" ht="15" hidden="false" customHeight="false" outlineLevel="0" collapsed="false">
      <c r="A4" s="20" t="n">
        <v>0</v>
      </c>
      <c r="B4" s="21" t="n">
        <f aca="false">((Model!$C$4-Model!$C$5)-(Model!$C$4*Model!$C$6))*Model!$C$8 - A4 + ((Model!$C$4-Model!$C$5)-(Model!$C$4*Model!$C$6))*Model!$C$9 - Model!$C$10</f>
        <v>1334000</v>
      </c>
      <c r="C4" s="22" t="n">
        <f aca="false">A4/(Model!$C$4*(Model!$C$8+Model!$C$9))</f>
        <v>0</v>
      </c>
    </row>
    <row r="5" customFormat="false" ht="15" hidden="false" customHeight="false" outlineLevel="0" collapsed="false">
      <c r="A5" s="20" t="n">
        <v>100000</v>
      </c>
      <c r="B5" s="21" t="n">
        <f aca="false">((Model!$C$4-Model!$C$5)-(Model!$C$4*Model!$C$6))*Model!$C$8 - A5 + ((Model!$C$4-Model!$C$5)-(Model!$C$4*Model!$C$6))*Model!$C$9 - Model!$C$10</f>
        <v>1234000</v>
      </c>
      <c r="C5" s="22" t="n">
        <f aca="false">A5/(Model!$C$4*(Model!$C$8+Model!$C$9))</f>
        <v>0.0357142857142857</v>
      </c>
    </row>
    <row r="6" customFormat="false" ht="15" hidden="false" customHeight="false" outlineLevel="0" collapsed="false">
      <c r="A6" s="20" t="n">
        <v>200000</v>
      </c>
      <c r="B6" s="21" t="n">
        <f aca="false">((Model!$C$4-Model!$C$5)-(Model!$C$4*Model!$C$6))*Model!$C$8 - A6 + ((Model!$C$4-Model!$C$5)-(Model!$C$4*Model!$C$6))*Model!$C$9 - Model!$C$10</f>
        <v>1134000</v>
      </c>
      <c r="C6" s="22" t="n">
        <f aca="false">A6/(Model!$C$4*(Model!$C$8+Model!$C$9))</f>
        <v>0.0714285714285714</v>
      </c>
    </row>
    <row r="7" customFormat="false" ht="15" hidden="false" customHeight="false" outlineLevel="0" collapsed="false">
      <c r="A7" s="20" t="n">
        <v>300000</v>
      </c>
      <c r="B7" s="21" t="n">
        <f aca="false">((Model!$C$4-Model!$C$5)-(Model!$C$4*Model!$C$6))*Model!$C$8 - A7 + ((Model!$C$4-Model!$C$5)-(Model!$C$4*Model!$C$6))*Model!$C$9 - Model!$C$10</f>
        <v>1034000</v>
      </c>
      <c r="C7" s="22" t="n">
        <f aca="false">A7/(Model!$C$4*(Model!$C$8+Model!$C$9))</f>
        <v>0.107142857142857</v>
      </c>
    </row>
    <row r="8" customFormat="false" ht="15" hidden="false" customHeight="false" outlineLevel="0" collapsed="false">
      <c r="A8" s="20" t="n">
        <v>400000</v>
      </c>
      <c r="B8" s="21" t="n">
        <f aca="false">((Model!$C$4-Model!$C$5)-(Model!$C$4*Model!$C$6))*Model!$C$8 - A8 + ((Model!$C$4-Model!$C$5)-(Model!$C$4*Model!$C$6))*Model!$C$9 - Model!$C$10</f>
        <v>934000</v>
      </c>
      <c r="C8" s="22" t="n">
        <f aca="false">A8/(Model!$C$4*(Model!$C$8+Model!$C$9))</f>
        <v>0.142857142857143</v>
      </c>
    </row>
    <row r="9" customFormat="false" ht="15" hidden="false" customHeight="false" outlineLevel="0" collapsed="false">
      <c r="A9" s="20" t="n">
        <v>500000</v>
      </c>
      <c r="B9" s="21" t="n">
        <f aca="false">((Model!$C$4-Model!$C$5)-(Model!$C$4*Model!$C$6))*Model!$C$8 - A9 + ((Model!$C$4-Model!$C$5)-(Model!$C$4*Model!$C$6))*Model!$C$9 - Model!$C$10</f>
        <v>834000</v>
      </c>
      <c r="C9" s="22" t="n">
        <f aca="false">A9/(Model!$C$4*(Model!$C$8+Model!$C$9))</f>
        <v>0.178571428571429</v>
      </c>
    </row>
    <row r="10" customFormat="false" ht="15" hidden="false" customHeight="false" outlineLevel="0" collapsed="false">
      <c r="A10" s="20" t="n">
        <v>600000</v>
      </c>
      <c r="B10" s="21" t="n">
        <f aca="false">((Model!$C$4-Model!$C$5)-(Model!$C$4*Model!$C$6))*Model!$C$8 - A10 + ((Model!$C$4-Model!$C$5)-(Model!$C$4*Model!$C$6))*Model!$C$9 - Model!$C$10</f>
        <v>734000</v>
      </c>
      <c r="C10" s="22" t="n">
        <f aca="false">A10/(Model!$C$4*(Model!$C$8+Model!$C$9))</f>
        <v>0.214285714285714</v>
      </c>
    </row>
    <row r="11" customFormat="false" ht="15" hidden="false" customHeight="false" outlineLevel="0" collapsed="false">
      <c r="A11" s="20" t="n">
        <v>700000</v>
      </c>
      <c r="B11" s="21" t="n">
        <f aca="false">((Model!$C$4-Model!$C$5)-(Model!$C$4*Model!$C$6))*Model!$C$8 - A11 + ((Model!$C$4-Model!$C$5)-(Model!$C$4*Model!$C$6))*Model!$C$9 - Model!$C$10</f>
        <v>634000</v>
      </c>
      <c r="C11" s="22" t="n">
        <f aca="false">A11/(Model!$C$4*(Model!$C$8+Model!$C$9))</f>
        <v>0.25</v>
      </c>
    </row>
    <row r="12" customFormat="false" ht="15" hidden="false" customHeight="false" outlineLevel="0" collapsed="false">
      <c r="A12" s="20" t="n">
        <v>800000</v>
      </c>
      <c r="B12" s="21" t="n">
        <f aca="false">((Model!$C$4-Model!$C$5)-(Model!$C$4*Model!$C$6))*Model!$C$8 - A12 + ((Model!$C$4-Model!$C$5)-(Model!$C$4*Model!$C$6))*Model!$C$9 - Model!$C$10</f>
        <v>534000</v>
      </c>
      <c r="C12" s="22" t="n">
        <f aca="false">A12/(Model!$C$4*(Model!$C$8+Model!$C$9))</f>
        <v>0.285714285714286</v>
      </c>
    </row>
    <row r="13" customFormat="false" ht="15" hidden="false" customHeight="false" outlineLevel="0" collapsed="false">
      <c r="A13" s="20" t="n">
        <v>900000</v>
      </c>
      <c r="B13" s="21" t="n">
        <f aca="false">((Model!$C$4-Model!$C$5)-(Model!$C$4*Model!$C$6))*Model!$C$8 - A13 + ((Model!$C$4-Model!$C$5)-(Model!$C$4*Model!$C$6))*Model!$C$9 - Model!$C$10</f>
        <v>434000</v>
      </c>
      <c r="C13" s="22" t="n">
        <f aca="false">A13/(Model!$C$4*(Model!$C$8+Model!$C$9))</f>
        <v>0.321428571428571</v>
      </c>
    </row>
    <row r="14" customFormat="false" ht="15" hidden="false" customHeight="false" outlineLevel="0" collapsed="false">
      <c r="A14" s="20" t="n">
        <v>1000000</v>
      </c>
      <c r="B14" s="21" t="n">
        <f aca="false">((Model!$C$4-Model!$C$5)-(Model!$C$4*Model!$C$6))*Model!$C$8 - A14 + ((Model!$C$4-Model!$C$5)-(Model!$C$4*Model!$C$6))*Model!$C$9 - Model!$C$10</f>
        <v>334000</v>
      </c>
      <c r="C14" s="22" t="n">
        <f aca="false">A14/(Model!$C$4*(Model!$C$8+Model!$C$9))</f>
        <v>0.357142857142857</v>
      </c>
    </row>
    <row r="15" customFormat="false" ht="15" hidden="false" customHeight="false" outlineLevel="0" collapsed="false">
      <c r="A15" s="20" t="n">
        <v>1100000</v>
      </c>
      <c r="B15" s="21" t="n">
        <f aca="false">((Model!$C$4-Model!$C$5)-(Model!$C$4*Model!$C$6))*Model!$C$8 - A15 + ((Model!$C$4-Model!$C$5)-(Model!$C$4*Model!$C$6))*Model!$C$9 - Model!$C$10</f>
        <v>234000</v>
      </c>
      <c r="C15" s="22" t="n">
        <f aca="false">A15/(Model!$C$4*(Model!$C$8+Model!$C$9))</f>
        <v>0.392857142857143</v>
      </c>
    </row>
    <row r="16" customFormat="false" ht="15" hidden="false" customHeight="false" outlineLevel="0" collapsed="false">
      <c r="A16" s="20" t="n">
        <v>1200000</v>
      </c>
      <c r="B16" s="21" t="n">
        <f aca="false">((Model!$C$4-Model!$C$5)-(Model!$C$4*Model!$C$6))*Model!$C$8 - A16 + ((Model!$C$4-Model!$C$5)-(Model!$C$4*Model!$C$6))*Model!$C$9 - Model!$C$10</f>
        <v>134000</v>
      </c>
      <c r="C16" s="22" t="n">
        <f aca="false">A16/(Model!$C$4*(Model!$C$8+Model!$C$9))</f>
        <v>0.428571428571429</v>
      </c>
    </row>
    <row r="17" customFormat="false" ht="15" hidden="false" customHeight="false" outlineLevel="0" collapsed="false">
      <c r="A17" s="20" t="n">
        <v>1300000</v>
      </c>
      <c r="B17" s="21" t="n">
        <f aca="false">((Model!$C$4-Model!$C$5)-(Model!$C$4*Model!$C$6))*Model!$C$8 - A17 + ((Model!$C$4-Model!$C$5)-(Model!$C$4*Model!$C$6))*Model!$C$9 - Model!$C$10</f>
        <v>34000</v>
      </c>
      <c r="C17" s="22" t="n">
        <f aca="false">A17/(Model!$C$4*(Model!$C$8+Model!$C$9))</f>
        <v>0.464285714285714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6" min="6" style="0" width="40"/>
  </cols>
  <sheetData>
    <row r="1" customFormat="false" ht="17.35" hidden="false" customHeight="false" outlineLevel="0" collapsed="false">
      <c r="B1" s="1" t="s">
        <v>30</v>
      </c>
      <c r="C1" s="1"/>
      <c r="D1" s="1"/>
      <c r="E1" s="1"/>
      <c r="F1" s="1"/>
    </row>
    <row r="3" customFormat="false" ht="15" hidden="false" customHeight="false" outlineLevel="0" collapsed="false">
      <c r="B3" s="19" t="s">
        <v>31</v>
      </c>
      <c r="C3" s="19" t="s">
        <v>32</v>
      </c>
      <c r="D3" s="19" t="s">
        <v>33</v>
      </c>
      <c r="E3" s="19" t="s">
        <v>24</v>
      </c>
      <c r="F3" s="19" t="s">
        <v>34</v>
      </c>
    </row>
    <row r="4" customFormat="false" ht="28.35" hidden="false" customHeight="false" outlineLevel="0" collapsed="false">
      <c r="B4" s="23" t="s">
        <v>35</v>
      </c>
      <c r="C4" s="24" t="s">
        <v>36</v>
      </c>
      <c r="D4" s="24" t="s">
        <v>37</v>
      </c>
      <c r="E4" s="24" t="s">
        <v>38</v>
      </c>
      <c r="F4" s="24" t="s">
        <v>39</v>
      </c>
    </row>
    <row r="5" customFormat="false" ht="41.75" hidden="false" customHeight="false" outlineLevel="0" collapsed="false">
      <c r="B5" s="23" t="s">
        <v>40</v>
      </c>
      <c r="C5" s="24" t="s">
        <v>41</v>
      </c>
      <c r="D5" s="24" t="s">
        <v>42</v>
      </c>
      <c r="E5" s="24" t="s">
        <v>42</v>
      </c>
      <c r="F5" s="24" t="s">
        <v>43</v>
      </c>
    </row>
    <row r="6" customFormat="false" ht="41.75" hidden="false" customHeight="false" outlineLevel="0" collapsed="false">
      <c r="B6" s="23" t="s">
        <v>44</v>
      </c>
      <c r="C6" s="24" t="s">
        <v>45</v>
      </c>
      <c r="D6" s="24" t="s">
        <v>46</v>
      </c>
      <c r="E6" s="24" t="s">
        <v>47</v>
      </c>
      <c r="F6" s="24" t="s">
        <v>48</v>
      </c>
    </row>
    <row r="7" customFormat="false" ht="41.75" hidden="false" customHeight="false" outlineLevel="0" collapsed="false">
      <c r="B7" s="23" t="s">
        <v>49</v>
      </c>
      <c r="C7" s="24" t="s">
        <v>50</v>
      </c>
      <c r="D7" s="24" t="s">
        <v>51</v>
      </c>
      <c r="E7" s="24" t="s">
        <v>52</v>
      </c>
      <c r="F7" s="24" t="s">
        <v>53</v>
      </c>
    </row>
    <row r="9" customFormat="false" ht="22.35" hidden="false" customHeight="true" outlineLevel="0" collapsed="false">
      <c r="B9" s="25" t="s">
        <v>54</v>
      </c>
      <c r="C9" s="25"/>
      <c r="D9" s="25"/>
      <c r="E9" s="25"/>
      <c r="F9" s="25"/>
    </row>
  </sheetData>
  <mergeCells count="2">
    <mergeCell ref="B1:F1"/>
    <mergeCell ref="B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2026-06-02T12:05:41Z</dcterms:created>
  <dc:creator>openpyxl</dc:creator>
  <dc:description/>
  <dc:language>en-US</dc:language>
  <cp:lastModifiedBy/>
  <dcterms:modified xsi:type="dcterms:W3CDTF">2026-06-02T12:05:44Z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